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2d2468a98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ers" sheetId="1" r:id="R4eb14c0b1ba448c2"/>
    <x:sheet xmlns:r="http://schemas.openxmlformats.org/officeDocument/2006/relationships" name="Summary" sheetId="2" r:id="R6713488b4b0f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4209171d64a7a" /><Relationship Type="http://schemas.openxmlformats.org/officeDocument/2006/relationships/theme" Target="/xl/theme/theme1.xml" Id="Raa5b5d013a6749d3" /><Relationship Type="http://schemas.openxmlformats.org/officeDocument/2006/relationships/sharedStrings" Target="/xl/sharedStrings.xml" Id="R3fcc2ca4a33f4972" /><Relationship Type="http://schemas.openxmlformats.org/officeDocument/2006/relationships/worksheet" Target="/xl/worksheets/sheet1.xml" Id="R4eb14c0b1ba448c2" /><Relationship Type="http://schemas.openxmlformats.org/officeDocument/2006/relationships/worksheet" Target="/xl/worksheets/sheet2.xml" Id="R6713488b4b0f45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5d250598834c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Toyota Dealerships by State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Dealer Count</c:v>
          </c:tx>
          <c:cat>
            <c:strRef>
              <c:f>'Summary'!$A$5:$A$10</c:f>
              <c:strCache>
                <c:ptCount val="0"/>
              </c:strCache>
            </c:strRef>
          </c:cat>
          <c:val>
            <c:numRef>
              <c:f>'Summary'!$B$5:$B$10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5d250598834c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alerTable" displayName="DealerTable" ref="A1:H78" headerRowCount="1">
  <x:tableColumns count="8">
    <x:tableColumn id="1" name="State"/>
    <x:tableColumn id="2" name="Abbrev"/>
    <x:tableColumn id="3" name="Dealer Name"/>
    <x:tableColumn id="4" name="City"/>
    <x:tableColumn id="5" name="Street Address"/>
    <x:tableColumn id="6" name="ZIP"/>
    <x:tableColumn id="7" name="Source URL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2dfeb2fa5f4a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762dcd1ce0949e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2" hidden="0" customWidth="1"/>
    <x:col min="4" max="4" width="18" hidden="0" customWidth="1"/>
    <x:col min="5" max="5" width="32" hidden="0" customWidth="1"/>
    <x:col min="6" max="6" width="10" hidden="0" customWidth="1"/>
    <x:col min="7" max="7" width="42" hidden="0" customWidth="1"/>
    <x:col min="8" max="8" width="36" hidden="0" customWidth="1"/>
  </x:cols>
  <x:sheetData>
    <x:row r="1">
      <x:c r="A1" s="5" t="str">
        <x:v>State</x:v>
      </x:c>
      <x:c r="B1" s="5" t="str">
        <x:v>Abbrev</x:v>
      </x:c>
      <x:c r="C1" s="5" t="str">
        <x:v>Dealer Name</x:v>
      </x:c>
      <x:c r="D1" s="5" t="str">
        <x:v>City</x:v>
      </x:c>
      <x:c r="E1" s="5" t="str">
        <x:v>Street Address</x:v>
      </x:c>
      <x:c r="F1" s="5" t="str">
        <x:v>ZIP</x:v>
      </x:c>
      <x:c r="G1" s="5" t="str">
        <x:v>Source URL</x:v>
      </x:c>
      <x:c r="H1" s="5" t="str">
        <x:v>Notes</x:v>
      </x:c>
    </x:row>
    <x:row r="2">
      <x:c r="A2" s="10" t="str">
        <x:v>Minnesota</x:v>
      </x:c>
      <x:c r="B2" s="10" t="str">
        <x:v>MN</x:v>
      </x:c>
      <x:c r="C2" s="10" t="str">
        <x:v>Lake Country Toyota</x:v>
      </x:c>
      <x:c r="D2" s="10" t="str">
        <x:v>Baxter</x:v>
      </x:c>
      <x:c r="E2" s="10" t="str">
        <x:v>7036 Lake Forest Road</x:v>
      </x:c>
      <x:c r="F2" s="10" t="str">
        <x:v>56401</x:v>
      </x:c>
      <x:c r="G2" s="10" t="str">
        <x:v>https://www.toyota.com/content/dam/toyota/brochures/pdf/tcom/2023_Dealer_List.pdf</x:v>
      </x:c>
      <x:c r="H2" s="10" t="str">
        <x:v>Toyota dealer list Jan. 12, 2024</x:v>
      </x:c>
    </x:row>
    <x:row r="3">
      <x:c r="A3" s="10" t="str">
        <x:v>Minnesota</x:v>
      </x:c>
      <x:c r="B3" s="10" t="str">
        <x:v>MN</x:v>
      </x:c>
      <x:c r="C3" s="10" t="str">
        <x:v>Chester Berg Toyota</x:v>
      </x:c>
      <x:c r="D3" s="10" t="str">
        <x:v>Bemidji</x:v>
      </x:c>
      <x:c r="E3" s="10" t="str">
        <x:v>705 Paul Bunyan Drive NW</x:v>
      </x:c>
      <x:c r="F3" s="10" t="str">
        <x:v>56601</x:v>
      </x:c>
      <x:c r="G3" s="10" t="str">
        <x:v>https://www.toyota.com/content/dam/toyota/brochures/pdf/tcom/2023_Dealer_List.pdf</x:v>
      </x:c>
      <x:c r="H3" s="10" t="str">
        <x:v>Toyota dealer list Jan. 12, 2024</x:v>
      </x:c>
    </x:row>
    <x:row r="4">
      <x:c r="A4" s="10" t="str">
        <x:v>Minnesota</x:v>
      </x:c>
      <x:c r="B4" s="10" t="str">
        <x:v>MN</x:v>
      </x:c>
      <x:c r="C4" s="10" t="str">
        <x:v>Walser Bloomington Toyota</x:v>
      </x:c>
      <x:c r="D4" s="10" t="str">
        <x:v>Bloomington</x:v>
      </x:c>
      <x:c r="E4" s="10" t="str">
        <x:v>4401 American Blvd. West</x:v>
      </x:c>
      <x:c r="F4" s="10" t="str">
        <x:v>55437</x:v>
      </x:c>
      <x:c r="G4" s="10" t="str">
        <x:v>https://www.toyota.com/content/dam/toyota/brochures/pdf/tcom/2023_Dealer_List.pdf</x:v>
      </x:c>
      <x:c r="H4" s="10" t="str">
        <x:v>Toyota dealer list Jan. 12, 2024</x:v>
      </x:c>
    </x:row>
    <x:row r="5">
      <x:c r="A5" s="10" t="str">
        <x:v>Minnesota</x:v>
      </x:c>
      <x:c r="B5" s="10" t="str">
        <x:v>MN</x:v>
      </x:c>
      <x:c r="C5" s="10" t="str">
        <x:v>Luther Brookdale Toyota</x:v>
      </x:c>
      <x:c r="D5" s="10" t="str">
        <x:v>Brooklyn Center</x:v>
      </x:c>
      <x:c r="E5" s="10" t="str">
        <x:v>6700 Brooklyn Boulevard</x:v>
      </x:c>
      <x:c r="F5" s="10" t="str">
        <x:v>55429</x:v>
      </x:c>
      <x:c r="G5" s="10" t="str">
        <x:v>https://www.toyota.com/content/dam/toyota/brochures/pdf/tcom/2023_Dealer_List.pdf</x:v>
      </x:c>
      <x:c r="H5" s="10" t="str">
        <x:v>Toyota dealer list Jan. 12, 2024</x:v>
      </x:c>
    </x:row>
    <x:row r="6">
      <x:c r="A6" s="10" t="str">
        <x:v>Minnesota</x:v>
      </x:c>
      <x:c r="B6" s="10" t="str">
        <x:v>MN</x:v>
      </x:c>
      <x:c r="C6" s="10" t="str">
        <x:v>Burnsville Toyota</x:v>
      </x:c>
      <x:c r="D6" s="10" t="str">
        <x:v>Burnsville</x:v>
      </x:c>
      <x:c r="E6" s="10" t="str">
        <x:v>14730 Buck Hill Road</x:v>
      </x:c>
      <x:c r="F6" s="10" t="str">
        <x:v>55306</x:v>
      </x:c>
      <x:c r="G6" s="10" t="str">
        <x:v>https://www.toyota.com/content/dam/toyota/brochures/pdf/tcom/2023_Dealer_List.pdf</x:v>
      </x:c>
      <x:c r="H6" s="10" t="str">
        <x:v>Toyota dealer list Jan. 12, 2024</x:v>
      </x:c>
    </x:row>
    <x:row r="7">
      <x:c r="A7" s="10" t="str">
        <x:v>Minnesota</x:v>
      </x:c>
      <x:c r="B7" s="10" t="str">
        <x:v>MN</x:v>
      </x:c>
      <x:c r="C7" s="10" t="str">
        <x:v>Carlson Toyota</x:v>
      </x:c>
      <x:c r="D7" s="10" t="str">
        <x:v>Coon Rapids</x:v>
      </x:c>
      <x:c r="E7" s="10" t="str">
        <x:v>12880 Riverdale Dr. NW</x:v>
      </x:c>
      <x:c r="F7" s="10" t="str">
        <x:v>55448</x:v>
      </x:c>
      <x:c r="G7" s="10" t="str">
        <x:v>https://www.toyota.com/content/dam/toyota/brochures/pdf/tcom/2023_Dealer_List.pdf</x:v>
      </x:c>
      <x:c r="H7" s="10" t="str">
        <x:v>Toyota dealer list Jan. 12, 2024</x:v>
      </x:c>
    </x:row>
    <x:row r="8">
      <x:c r="A8" s="10" t="str">
        <x:v>Minnesota</x:v>
      </x:c>
      <x:c r="B8" s="10" t="str">
        <x:v>MN</x:v>
      </x:c>
      <x:c r="C8" s="10" t="str">
        <x:v>Kolar Toyota</x:v>
      </x:c>
      <x:c r="D8" s="10" t="str">
        <x:v>Duluth</x:v>
      </x:c>
      <x:c r="E8" s="10" t="str">
        <x:v>4781 Miller Trunk Hwy.</x:v>
      </x:c>
      <x:c r="F8" s="10" t="str">
        <x:v>55811</x:v>
      </x:c>
      <x:c r="G8" s="10" t="str">
        <x:v>https://www.kolartoyota.com/</x:v>
      </x:c>
      <x:c r="H8" s="10" t="str">
        <x:v>Current site also verifies Kolar Toyota</x:v>
      </x:c>
    </x:row>
    <x:row r="9">
      <x:c r="A9" s="10" t="str">
        <x:v>Minnesota</x:v>
      </x:c>
      <x:c r="B9" s="10" t="str">
        <x:v>MN</x:v>
      </x:c>
      <x:c r="C9" s="10" t="str">
        <x:v>Quality Toyota</x:v>
      </x:c>
      <x:c r="D9" s="10" t="str">
        <x:v>Fergus Falls</x:v>
      </x:c>
      <x:c r="E9" s="10" t="str">
        <x:v>1125 W. Lincoln Avenue</x:v>
      </x:c>
      <x:c r="F9" s="10" t="str">
        <x:v>56537</x:v>
      </x:c>
      <x:c r="G9" s="10" t="str">
        <x:v>https://www.toyota.com/content/dam/toyota/brochures/pdf/tcom/2023_Dealer_List.pdf</x:v>
      </x:c>
      <x:c r="H9" s="10" t="str">
        <x:v>Toyota dealer list Jan. 12, 2024</x:v>
      </x:c>
    </x:row>
    <x:row r="10">
      <x:c r="A10" s="10" t="str">
        <x:v>Minnesota</x:v>
      </x:c>
      <x:c r="B10" s="10" t="str">
        <x:v>MN</x:v>
      </x:c>
      <x:c r="C10" s="10" t="str">
        <x:v>Rudy Luther Toyota</x:v>
      </x:c>
      <x:c r="D10" s="10" t="str">
        <x:v>Golden Valley</x:v>
      </x:c>
      <x:c r="E10" s="10" t="str">
        <x:v>8805 Wayzata Blvd</x:v>
      </x:c>
      <x:c r="F10" s="10" t="str">
        <x:v>55426</x:v>
      </x:c>
      <x:c r="G10" s="10" t="str">
        <x:v>https://www.toyota.com/content/dam/toyota/brochures/pdf/tcom/2023_Dealer_List.pdf</x:v>
      </x:c>
      <x:c r="H10" s="10" t="str">
        <x:v>Toyota dealer list Jan. 12, 2024</x:v>
      </x:c>
    </x:row>
    <x:row r="11">
      <x:c r="A11" s="10" t="str">
        <x:v>Minnesota</x:v>
      </x:c>
      <x:c r="B11" s="10" t="str">
        <x:v>MN</x:v>
      </x:c>
      <x:c r="C11" s="10" t="str">
        <x:v>Inver Grove Toyota</x:v>
      </x:c>
      <x:c r="D11" s="10" t="str">
        <x:v>Inver Grove Heights</x:v>
      </x:c>
      <x:c r="E11" s="10" t="str">
        <x:v>1037 50th Street</x:v>
      </x:c>
      <x:c r="F11" s="10" t="str">
        <x:v>55077</x:v>
      </x:c>
      <x:c r="G11" s="10" t="str">
        <x:v>https://www.toyota.com/content/dam/toyota/brochures/pdf/tcom/2023_Dealer_List.pdf</x:v>
      </x:c>
      <x:c r="H11" s="10" t="str">
        <x:v>Toyota dealer list Jan. 12, 2024</x:v>
      </x:c>
    </x:row>
    <x:row r="12">
      <x:c r="A12" s="10" t="str">
        <x:v>Minnesota</x:v>
      </x:c>
      <x:c r="B12" s="10" t="str">
        <x:v>MN</x:v>
      </x:c>
      <x:c r="C12" s="10" t="str">
        <x:v>LeadCar Toyota Mankato</x:v>
      </x:c>
      <x:c r="D12" s="10" t="str">
        <x:v>Mankato</x:v>
      </x:c>
      <x:c r="E12" s="10" t="str">
        <x:v>1234 Raintree Road</x:v>
      </x:c>
      <x:c r="F12" s="10" t="str">
        <x:v>56001</x:v>
      </x:c>
      <x:c r="G12" s="10" t="str">
        <x:v>https://www.toyota.com/content/dam/toyota/brochures/pdf/tcom/2023_Dealer_List.pdf</x:v>
      </x:c>
      <x:c r="H12" s="10" t="str">
        <x:v>Toyota dealer list Jan. 12, 2024</x:v>
      </x:c>
    </x:row>
    <x:row r="13">
      <x:c r="A13" s="10" t="str">
        <x:v>Minnesota</x:v>
      </x:c>
      <x:c r="B13" s="10" t="str">
        <x:v>MN</x:v>
      </x:c>
      <x:c r="C13" s="10" t="str">
        <x:v>Maplewood Toyota</x:v>
      </x:c>
      <x:c r="D13" s="10" t="str">
        <x:v>Maplewood</x:v>
      </x:c>
      <x:c r="E13" s="10" t="str">
        <x:v>2873 Maplewood Dr.</x:v>
      </x:c>
      <x:c r="F13" s="10" t="str">
        <x:v>55109</x:v>
      </x:c>
      <x:c r="G13" s="10" t="str">
        <x:v>https://www.toyota.com/content/dam/toyota/brochures/pdf/tcom/2023_Dealer_List.pdf</x:v>
      </x:c>
      <x:c r="H13" s="10" t="str">
        <x:v>Toyota dealer list Jan. 12, 2024</x:v>
      </x:c>
    </x:row>
    <x:row r="14">
      <x:c r="A14" s="10" t="str">
        <x:v>Minnesota</x:v>
      </x:c>
      <x:c r="B14" s="10" t="str">
        <x:v>MN</x:v>
      </x:c>
      <x:c r="C14" s="10" t="str">
        <x:v>Rochester Toyota</x:v>
      </x:c>
      <x:c r="D14" s="10" t="str">
        <x:v>Rochester</x:v>
      </x:c>
      <x:c r="E14" s="10" t="str">
        <x:v>4365 Canal Place, S.E.</x:v>
      </x:c>
      <x:c r="F14" s="10" t="str">
        <x:v>55904</x:v>
      </x:c>
      <x:c r="G14" s="10" t="str">
        <x:v>https://www.rochestertoyota.com/</x:v>
      </x:c>
      <x:c r="H14" s="10" t="str">
        <x:v>Current site also verifies Rochester Toyota</x:v>
      </x:c>
    </x:row>
    <x:row r="15">
      <x:c r="A15" s="10" t="str">
        <x:v>Minnesota</x:v>
      </x:c>
      <x:c r="B15" s="10" t="str">
        <x:v>MN</x:v>
      </x:c>
      <x:c r="C15" s="10" t="str">
        <x:v>Iron Trail Toyota</x:v>
      </x:c>
      <x:c r="D15" s="10" t="str">
        <x:v>Virginia</x:v>
      </x:c>
      <x:c r="E15" s="10" t="str">
        <x:v>1301 S. 17th Street</x:v>
      </x:c>
      <x:c r="F15" s="10" t="str">
        <x:v>55792</x:v>
      </x:c>
      <x:c r="G15" s="10" t="str">
        <x:v>https://www.irontrailtoyota.com/</x:v>
      </x:c>
      <x:c r="H15" s="10" t="str">
        <x:v>Current site also verifies Iron Trail Toyota</x:v>
      </x:c>
    </x:row>
    <x:row r="16">
      <x:c r="A16" s="10" t="str">
        <x:v>Minnesota</x:v>
      </x:c>
      <x:c r="B16" s="10" t="str">
        <x:v>MN</x:v>
      </x:c>
      <x:c r="C16" s="10" t="str">
        <x:v>St. Cloud Toyota</x:v>
      </x:c>
      <x:c r="D16" s="10" t="str">
        <x:v>Waite Park</x:v>
      </x:c>
      <x:c r="E16" s="10" t="str">
        <x:v>418 2nd Street South</x:v>
      </x:c>
      <x:c r="F16" s="10" t="str">
        <x:v>56387</x:v>
      </x:c>
      <x:c r="G16" s="10" t="str">
        <x:v>https://www.toyota.com/content/dam/toyota/brochures/pdf/tcom/2023_Dealer_List.pdf</x:v>
      </x:c>
      <x:c r="H16" s="10" t="str">
        <x:v>Toyota dealer list Jan. 12, 2024</x:v>
      </x:c>
    </x:row>
    <x:row r="17">
      <x:c r="A17" s="10" t="str">
        <x:v>Minnesota</x:v>
      </x:c>
      <x:c r="B17" s="10" t="str">
        <x:v>MN</x:v>
      </x:c>
      <x:c r="C17" s="10" t="str">
        <x:v>Mills Toyota</x:v>
      </x:c>
      <x:c r="D17" s="10" t="str">
        <x:v>Willmar</x:v>
      </x:c>
      <x:c r="E17" s="10" t="str">
        <x:v>3700 Highway 71 South</x:v>
      </x:c>
      <x:c r="F17" s="10" t="str">
        <x:v>56201</x:v>
      </x:c>
      <x:c r="G17" s="10" t="str">
        <x:v>https://www.millstoyota.com/</x:v>
      </x:c>
      <x:c r="H17" s="10" t="str">
        <x:v>Current site also verifies Mills Toyota</x:v>
      </x:c>
    </x:row>
    <x:row r="18">
      <x:c r="A18" s="10" t="str">
        <x:v>Minnesota</x:v>
      </x:c>
      <x:c r="B18" s="10" t="str">
        <x:v>MN</x:v>
      </x:c>
      <x:c r="C18" s="10" t="str">
        <x:v>Dahl Toyota Winona</x:v>
      </x:c>
      <x:c r="D18" s="10" t="str">
        <x:v>Winona</x:v>
      </x:c>
      <x:c r="E18" s="10" t="str">
        <x:v>1077 W. Service Drive</x:v>
      </x:c>
      <x:c r="F18" s="10" t="str">
        <x:v>55987</x:v>
      </x:c>
      <x:c r="G18" s="10" t="str">
        <x:v>https://www.dahltoyotawinona.com/</x:v>
      </x:c>
      <x:c r="H18" s="10" t="str">
        <x:v>Current site uses Dahl Toyota Winona</x:v>
      </x:c>
    </x:row>
    <x:row r="19">
      <x:c r="A19" s="10" t="str">
        <x:v>Iowa</x:v>
      </x:c>
      <x:c r="B19" s="10" t="str">
        <x:v>IA</x:v>
      </x:c>
      <x:c r="C19" s="10" t="str">
        <x:v>Wilson Toyota of Ames</x:v>
      </x:c>
      <x:c r="D19" s="10" t="str">
        <x:v>Ames</x:v>
      </x:c>
      <x:c r="E19" s="10" t="str">
        <x:v>2212 South Duff</x:v>
      </x:c>
      <x:c r="F19" s="10" t="str">
        <x:v>50010</x:v>
      </x:c>
      <x:c r="G19" s="10" t="str">
        <x:v>https://www.toyota.com/content/dam/toyota/brochures/pdf/tcom/2023_Dealer_List.pdf</x:v>
      </x:c>
      <x:c r="H19" s="10" t="str">
        <x:v>Toyota dealer list Jan. 12, 2024</x:v>
      </x:c>
    </x:row>
    <x:row r="20">
      <x:c r="A20" s="10" t="str">
        <x:v>Iowa</x:v>
      </x:c>
      <x:c r="B20" s="10" t="str">
        <x:v>IA</x:v>
      </x:c>
      <x:c r="C20" s="10" t="str">
        <x:v>Motor Inn Toyota of Carroll</x:v>
      </x:c>
      <x:c r="D20" s="10" t="str">
        <x:v>Carroll</x:v>
      </x:c>
      <x:c r="E20" s="10" t="str">
        <x:v>1526 Le Clark Road</x:v>
      </x:c>
      <x:c r="F20" s="10" t="str">
        <x:v>51401</x:v>
      </x:c>
      <x:c r="G20" s="10" t="str">
        <x:v>https://www.toyota.com/content/dam/toyota/brochures/pdf/tcom/2023_Dealer_List.pdf</x:v>
      </x:c>
      <x:c r="H20" s="10" t="str">
        <x:v>Toyota dealer list Jan. 12, 2024</x:v>
      </x:c>
    </x:row>
    <x:row r="21">
      <x:c r="A21" s="10" t="str">
        <x:v>Iowa</x:v>
      </x:c>
      <x:c r="B21" s="10" t="str">
        <x:v>IA</x:v>
      </x:c>
      <x:c r="C21" s="10" t="str">
        <x:v>Dan Deery Toyota</x:v>
      </x:c>
      <x:c r="D21" s="10" t="str">
        <x:v>Cedar Falls</x:v>
      </x:c>
      <x:c r="E21" s="10" t="str">
        <x:v>7404 University Avenue</x:v>
      </x:c>
      <x:c r="F21" s="10" t="str">
        <x:v>50613</x:v>
      </x:c>
      <x:c r="G21" s="10" t="str">
        <x:v>https://www.toyota.com/content/dam/toyota/brochures/pdf/tcom/2023_Dealer_List.pdf</x:v>
      </x:c>
      <x:c r="H21" s="10" t="str">
        <x:v>Toyota dealer list Jan. 12, 2024</x:v>
      </x:c>
    </x:row>
    <x:row r="22">
      <x:c r="A22" s="10" t="str">
        <x:v>Iowa</x:v>
      </x:c>
      <x:c r="B22" s="10" t="str">
        <x:v>IA</x:v>
      </x:c>
      <x:c r="C22" s="10" t="str">
        <x:v>Billion Toyota of Clinton</x:v>
      </x:c>
      <x:c r="D22" s="10" t="str">
        <x:v>Clinton</x:v>
      </x:c>
      <x:c r="E22" s="10" t="str">
        <x:v>2435 Lincolnway</x:v>
      </x:c>
      <x:c r="F22" s="10" t="str">
        <x:v>52732</x:v>
      </x:c>
      <x:c r="G22" s="10" t="str">
        <x:v>https://www.billiontoyotaclinton.com/</x:v>
      </x:c>
      <x:c r="H22" s="10" t="str">
        <x:v>Current site verifies Billion Toyota of Clinton</x:v>
      </x:c>
    </x:row>
    <x:row r="23">
      <x:c r="A23" s="10" t="str">
        <x:v>Iowa</x:v>
      </x:c>
      <x:c r="B23" s="10" t="str">
        <x:v>IA</x:v>
      </x:c>
      <x:c r="C23" s="10" t="str">
        <x:v>Smart Toyota of Quad Cities</x:v>
      </x:c>
      <x:c r="D23" s="10" t="str">
        <x:v>Davenport</x:v>
      </x:c>
      <x:c r="E23" s="10" t="str">
        <x:v>1501 E. 53rd Street</x:v>
      </x:c>
      <x:c r="F23" s="10" t="str">
        <x:v>52807</x:v>
      </x:c>
      <x:c r="G23" s="10" t="str">
        <x:v>https://www.toyota.com/content/dam/toyota/brochures/pdf/tcom/2023_Dealer_List.pdf</x:v>
      </x:c>
      <x:c r="H23" s="10" t="str">
        <x:v>Toyota dealer list Jan. 12, 2024</x:v>
      </x:c>
    </x:row>
    <x:row r="24">
      <x:c r="A24" s="10" t="str">
        <x:v>Iowa</x:v>
      </x:c>
      <x:c r="B24" s="10" t="str">
        <x:v>IA</x:v>
      </x:c>
      <x:c r="C24" s="10" t="str">
        <x:v>Anderson-Weber Toyota</x:v>
      </x:c>
      <x:c r="D24" s="10" t="str">
        <x:v>Dubuque</x:v>
      </x:c>
      <x:c r="E24" s="10" t="str">
        <x:v>3450 Center Grove Drive</x:v>
      </x:c>
      <x:c r="F24" s="10" t="str">
        <x:v>52003</x:v>
      </x:c>
      <x:c r="G24" s="10" t="str">
        <x:v>https://www.toyota.com/content/dam/toyota/brochures/pdf/tcom/2023_Dealer_List.pdf</x:v>
      </x:c>
      <x:c r="H24" s="10" t="str">
        <x:v>Toyota dealer list Jan. 12, 2024</x:v>
      </x:c>
    </x:row>
    <x:row r="25">
      <x:c r="A25" s="10" t="str">
        <x:v>Iowa</x:v>
      </x:c>
      <x:c r="B25" s="10" t="str">
        <x:v>IA</x:v>
      </x:c>
      <x:c r="C25" s="10" t="str">
        <x:v>Fort Dodge Ford, Lincoln, Toyota</x:v>
      </x:c>
      <x:c r="D25" s="10" t="str">
        <x:v>Fort Dodge</x:v>
      </x:c>
      <x:c r="E25" s="10" t="str">
        <x:v>2723 5th Avenue South</x:v>
      </x:c>
      <x:c r="F25" s="10" t="str">
        <x:v>50501</x:v>
      </x:c>
      <x:c r="G25" s="10" t="str">
        <x:v>https://www.toyota.com/content/dam/toyota/brochures/pdf/tcom/2023_Dealer_List.pdf</x:v>
      </x:c>
      <x:c r="H25" s="10" t="str">
        <x:v>Toyota dealer list Jan. 12, 2024</x:v>
      </x:c>
    </x:row>
    <x:row r="26">
      <x:c r="A26" s="10" t="str">
        <x:v>Iowa</x:v>
      </x:c>
      <x:c r="B26" s="10" t="str">
        <x:v>IA</x:v>
      </x:c>
      <x:c r="C26" s="10" t="str">
        <x:v>Toyota of Des Moines</x:v>
      </x:c>
      <x:c r="D26" s="10" t="str">
        <x:v>Grimes</x:v>
      </x:c>
      <x:c r="E26" s="10" t="str">
        <x:v>1650 SE 37th Street</x:v>
      </x:c>
      <x:c r="F26" s="10" t="str">
        <x:v>50111</x:v>
      </x:c>
      <x:c r="G26" s="10" t="str">
        <x:v>https://www.toyota.com/content/dam/toyota/brochures/pdf/tcom/2023_Dealer_List.pdf</x:v>
      </x:c>
      <x:c r="H26" s="10" t="str">
        <x:v>Toyota dealer list Jan. 12, 2024</x:v>
      </x:c>
    </x:row>
    <x:row r="27">
      <x:c r="A27" s="10" t="str">
        <x:v>Iowa</x:v>
      </x:c>
      <x:c r="B27" s="10" t="str">
        <x:v>IA</x:v>
      </x:c>
      <x:c r="C27" s="10" t="str">
        <x:v>Cedar Rapids Toyota, Inc.</x:v>
      </x:c>
      <x:c r="D27" s="10" t="str">
        <x:v>Hiawatha</x:v>
      </x:c>
      <x:c r="E27" s="10" t="str">
        <x:v>1190 Boyson Road</x:v>
      </x:c>
      <x:c r="F27" s="10" t="str">
        <x:v>52233</x:v>
      </x:c>
      <x:c r="G27" s="10" t="str">
        <x:v>https://www.toyota.com/content/dam/toyota/brochures/pdf/tcom/2023_Dealer_List.pdf</x:v>
      </x:c>
      <x:c r="H27" s="10" t="str">
        <x:v>Toyota dealer list Jan. 12, 2024</x:v>
      </x:c>
    </x:row>
    <x:row r="28">
      <x:c r="A28" s="10" t="str">
        <x:v>Iowa</x:v>
      </x:c>
      <x:c r="B28" s="10" t="str">
        <x:v>IA</x:v>
      </x:c>
      <x:c r="C28" s="10" t="str">
        <x:v>McGrath Toyota of Iowa City</x:v>
      </x:c>
      <x:c r="D28" s="10" t="str">
        <x:v>Iowa City</x:v>
      </x:c>
      <x:c r="E28" s="10" t="str">
        <x:v>1445 Highway 1 West</x:v>
      </x:c>
      <x:c r="F28" s="10" t="str">
        <x:v>52246</x:v>
      </x:c>
      <x:c r="G28" s="10" t="str">
        <x:v>https://www.toyota.com/content/dam/toyota/brochures/pdf/tcom/2023_Dealer_List.pdf</x:v>
      </x:c>
      <x:c r="H28" s="10" t="str">
        <x:v>Toyota dealer list Jan. 12, 2024</x:v>
      </x:c>
    </x:row>
    <x:row r="29">
      <x:c r="A29" s="10" t="str">
        <x:v>Iowa</x:v>
      </x:c>
      <x:c r="B29" s="10" t="str">
        <x:v>IA</x:v>
      </x:c>
      <x:c r="C29" s="10" t="str">
        <x:v>Hosmer Toyota</x:v>
      </x:c>
      <x:c r="D29" s="10" t="str">
        <x:v>Mason City</x:v>
      </x:c>
      <x:c r="E29" s="10" t="str">
        <x:v>3851 Fourth Street SW</x:v>
      </x:c>
      <x:c r="F29" s="10" t="str">
        <x:v>50401</x:v>
      </x:c>
      <x:c r="G29" s="10" t="str">
        <x:v>https://www.toyota.com/content/dam/toyota/brochures/pdf/tcom/2023_Dealer_List.pdf</x:v>
      </x:c>
      <x:c r="H29" s="10" t="str">
        <x:v>Toyota dealer list Jan. 12, 2024</x:v>
      </x:c>
    </x:row>
    <x:row r="30">
      <x:c r="A30" s="10" t="str">
        <x:v>Iowa</x:v>
      </x:c>
      <x:c r="B30" s="10" t="str">
        <x:v>IA</x:v>
      </x:c>
      <x:c r="C30" s="10" t="str">
        <x:v>Toyota of Muscatine</x:v>
      </x:c>
      <x:c r="D30" s="10" t="str">
        <x:v>Muscatine</x:v>
      </x:c>
      <x:c r="E30" s="10" t="str">
        <x:v>3000 Highway 38 North</x:v>
      </x:c>
      <x:c r="F30" s="10" t="str">
        <x:v>52761</x:v>
      </x:c>
      <x:c r="G30" s="10" t="str">
        <x:v>https://www.toyota.com/content/dam/toyota/brochures/pdf/tcom/2023_Dealer_List.pdf</x:v>
      </x:c>
      <x:c r="H30" s="10" t="str">
        <x:v>Toyota dealer list Jan. 12, 2024</x:v>
      </x:c>
    </x:row>
    <x:row r="31">
      <x:c r="A31" s="10" t="str">
        <x:v>Iowa</x:v>
      </x:c>
      <x:c r="B31" s="10" t="str">
        <x:v>IA</x:v>
      </x:c>
      <x:c r="C31" s="10" t="str">
        <x:v>Gregg Young Toyota Ottumwa</x:v>
      </x:c>
      <x:c r="D31" s="10" t="str">
        <x:v>Ottumwa</x:v>
      </x:c>
      <x:c r="E31" s="10" t="str">
        <x:v>2839 North Court Street</x:v>
      </x:c>
      <x:c r="F31" s="10" t="str">
        <x:v>52501</x:v>
      </x:c>
      <x:c r="G31" s="10" t="str">
        <x:v>https://www.greggyoungtoyotaottumwa.com/</x:v>
      </x:c>
      <x:c r="H31" s="10" t="str">
        <x:v>Current name also supported by Toyota list</x:v>
      </x:c>
    </x:row>
    <x:row r="32">
      <x:c r="A32" s="10" t="str">
        <x:v>Iowa</x:v>
      </x:c>
      <x:c r="B32" s="10" t="str">
        <x:v>IA</x:v>
      </x:c>
      <x:c r="C32" s="10" t="str">
        <x:v>Rick Collins Toyota</x:v>
      </x:c>
      <x:c r="D32" s="10" t="str">
        <x:v>Sioux City</x:v>
      </x:c>
      <x:c r="E32" s="10" t="str">
        <x:v>3131 Singing Hills Blvd.</x:v>
      </x:c>
      <x:c r="F32" s="10" t="str">
        <x:v>51106</x:v>
      </x:c>
      <x:c r="G32" s="10" t="str">
        <x:v>https://www.toyota.com/content/dam/toyota/brochures/pdf/tcom/2023_Dealer_List.pdf</x:v>
      </x:c>
      <x:c r="H32" s="10" t="str">
        <x:v>Toyota dealer list Jan. 12, 2024</x:v>
      </x:c>
    </x:row>
    <x:row r="33">
      <x:c r="A33" s="10" t="str">
        <x:v>Iowa</x:v>
      </x:c>
      <x:c r="B33" s="10" t="str">
        <x:v>IA</x:v>
      </x:c>
      <x:c r="C33" s="10" t="str">
        <x:v>Okoboji Toyota</x:v>
      </x:c>
      <x:c r="D33" s="10" t="str">
        <x:v>Spirit Lake</x:v>
      </x:c>
      <x:c r="E33" s="10" t="str">
        <x:v>2720 17th Street</x:v>
      </x:c>
      <x:c r="F33" s="10" t="str">
        <x:v>51360</x:v>
      </x:c>
      <x:c r="G33" s="10" t="str">
        <x:v>https://www.toyota.com/content/dam/toyota/brochures/pdf/tcom/2023_Dealer_List.pdf</x:v>
      </x:c>
      <x:c r="H33" s="10" t="str">
        <x:v>Toyota dealer list Jan. 12, 2024</x:v>
      </x:c>
    </x:row>
    <x:row r="34">
      <x:c r="A34" s="10" t="str">
        <x:v>Iowa</x:v>
      </x:c>
      <x:c r="B34" s="10" t="str">
        <x:v>IA</x:v>
      </x:c>
      <x:c r="C34" s="10" t="str">
        <x:v>Deery Brothers Toyota</x:v>
      </x:c>
      <x:c r="D34" s="10" t="str">
        <x:v>West Burlington</x:v>
      </x:c>
      <x:c r="E34" s="10" t="str">
        <x:v>200 S. Gear Avenue</x:v>
      </x:c>
      <x:c r="F34" s="10" t="str">
        <x:v>52655</x:v>
      </x:c>
      <x:c r="G34" s="10" t="str">
        <x:v>https://www.deerybrotherstoyota.com/</x:v>
      </x:c>
      <x:c r="H34" s="10" t="str">
        <x:v>Current site verifies Deery Brothers Toyota</x:v>
      </x:c>
    </x:row>
    <x:row r="35">
      <x:c r="A35" s="10" t="str">
        <x:v>Wisconsin</x:v>
      </x:c>
      <x:c r="B35" s="10" t="str">
        <x:v>WI</x:v>
      </x:c>
      <x:c r="C35" s="10" t="str">
        <x:v>Kolosso Toyota</x:v>
      </x:c>
      <x:c r="D35" s="10" t="str">
        <x:v>Appleton</x:v>
      </x:c>
      <x:c r="E35" s="10" t="str">
        <x:v>3000 W. Wisconsin Avenue</x:v>
      </x:c>
      <x:c r="F35" s="10" t="str">
        <x:v>54914</x:v>
      </x:c>
      <x:c r="G35" s="10" t="str">
        <x:v>https://www.toyota.com/content/dam/toyota/brochures/pdf/tcom/2023_Dealer_List.pdf</x:v>
      </x:c>
      <x:c r="H35" s="10" t="str">
        <x:v>Toyota dealer list Jan. 12, 2024</x:v>
      </x:c>
    </x:row>
    <x:row r="36">
      <x:c r="A36" s="10" t="str">
        <x:v>Wisconsin</x:v>
      </x:c>
      <x:c r="B36" s="10" t="str">
        <x:v>WI</x:v>
      </x:c>
      <x:c r="C36" s="10" t="str">
        <x:v>Marthaler Toyota of Ashland</x:v>
      </x:c>
      <x:c r="D36" s="10" t="str">
        <x:v>Ashland</x:v>
      </x:c>
      <x:c r="E36" s="10" t="str">
        <x:v>2301 Lakeshore Drive East</x:v>
      </x:c>
      <x:c r="F36" s="10" t="str">
        <x:v>54806</x:v>
      </x:c>
      <x:c r="G36" s="10" t="str">
        <x:v>https://www.toyota.com/content/dam/toyota/brochures/pdf/tcom/2023_Dealer_List.pdf</x:v>
      </x:c>
      <x:c r="H36" s="10" t="str">
        <x:v>Toyota dealer list Jan. 12, 2024</x:v>
      </x:c>
    </x:row>
    <x:row r="37">
      <x:c r="A37" s="10" t="str">
        <x:v>Wisconsin</x:v>
      </x:c>
      <x:c r="B37" s="10" t="str">
        <x:v>WI</x:v>
      </x:c>
      <x:c r="C37" s="10" t="str">
        <x:v>Toyota of Brookfield</x:v>
      </x:c>
      <x:c r="D37" s="10" t="str">
        <x:v>Brookfield</x:v>
      </x:c>
      <x:c r="E37" s="10" t="str">
        <x:v>20655 West Capitol Drive</x:v>
      </x:c>
      <x:c r="F37" s="10" t="str">
        <x:v>53045</x:v>
      </x:c>
      <x:c r="G37" s="10" t="str">
        <x:v>https://www.toyota.com/content/dam/toyota/brochures/pdf/tcom/2023_Dealer_List.pdf</x:v>
      </x:c>
      <x:c r="H37" s="10" t="str">
        <x:v>Toyota dealer list Jan. 12, 2024</x:v>
      </x:c>
    </x:row>
    <x:row r="38">
      <x:c r="A38" s="10" t="str">
        <x:v>Wisconsin</x:v>
      </x:c>
      <x:c r="B38" s="10" t="str">
        <x:v>WI</x:v>
      </x:c>
      <x:c r="C38" s="10" t="str">
        <x:v>Markquart Toyota</x:v>
      </x:c>
      <x:c r="D38" s="10" t="str">
        <x:v>Chippewa Falls</x:v>
      </x:c>
      <x:c r="E38" s="10" t="str">
        <x:v>1844 Commercial Blvd.</x:v>
      </x:c>
      <x:c r="F38" s="10" t="str">
        <x:v>54729</x:v>
      </x:c>
      <x:c r="G38" s="10" t="str">
        <x:v>https://www.toyota.com/content/dam/toyota/brochures/pdf/tcom/2023_Dealer_List.pdf</x:v>
      </x:c>
      <x:c r="H38" s="10" t="str">
        <x:v>Toyota dealer list Jan. 12, 2024</x:v>
      </x:c>
    </x:row>
    <x:row r="39">
      <x:c r="A39" s="10" t="str">
        <x:v>Wisconsin</x:v>
      </x:c>
      <x:c r="B39" s="10" t="str">
        <x:v>WI</x:v>
      </x:c>
      <x:c r="C39" s="10" t="str">
        <x:v>Umansky Toyota</x:v>
      </x:c>
      <x:c r="D39" s="10" t="str">
        <x:v>Glendale</x:v>
      </x:c>
      <x:c r="E39" s="10" t="str">
        <x:v>1620 W. Silver Spring Dr.</x:v>
      </x:c>
      <x:c r="F39" s="10" t="str">
        <x:v>53209</x:v>
      </x:c>
      <x:c r="G39" s="10" t="str">
        <x:v>https://www.umanskytoyota.com/</x:v>
      </x:c>
      <x:c r="H39" s="10" t="str">
        <x:v>Current name; 2024 Toyota list showed Andrew Toyota at same address</x:v>
      </x:c>
    </x:row>
    <x:row r="40">
      <x:c r="A40" s="10" t="str">
        <x:v>Wisconsin</x:v>
      </x:c>
      <x:c r="B40" s="10" t="str">
        <x:v>WI</x:v>
      </x:c>
      <x:c r="C40" s="10" t="str">
        <x:v>Le Mieux &amp; Son Toyota</x:v>
      </x:c>
      <x:c r="D40" s="10" t="str">
        <x:v>Green Bay</x:v>
      </x:c>
      <x:c r="E40" s="10" t="str">
        <x:v>2550 South Oneida Street</x:v>
      </x:c>
      <x:c r="F40" s="10" t="str">
        <x:v>54304</x:v>
      </x:c>
      <x:c r="G40" s="10" t="str">
        <x:v>https://www.toyota.com/content/dam/toyota/brochures/pdf/tcom/2023_Dealer_List.pdf</x:v>
      </x:c>
      <x:c r="H40" s="10" t="str">
        <x:v>Toyota dealer list Jan. 12, 2024</x:v>
      </x:c>
    </x:row>
    <x:row r="41">
      <x:c r="A41" s="10" t="str">
        <x:v>Wisconsin</x:v>
      </x:c>
      <x:c r="B41" s="10" t="str">
        <x:v>WI</x:v>
      </x:c>
      <x:c r="C41" s="10" t="str">
        <x:v>Hesser Toyota</x:v>
      </x:c>
      <x:c r="D41" s="10" t="str">
        <x:v>Janesville</x:v>
      </x:c>
      <x:c r="E41" s="10" t="str">
        <x:v>1811 Humes Road</x:v>
      </x:c>
      <x:c r="F41" s="10" t="str">
        <x:v>53545</x:v>
      </x:c>
      <x:c r="G41" s="10" t="str">
        <x:v>https://www.toyota.com/content/dam/toyota/brochures/pdf/tcom/2023_Dealer_List.pdf</x:v>
      </x:c>
      <x:c r="H41" s="10" t="str">
        <x:v>Toyota dealer list Jan. 12, 2024</x:v>
      </x:c>
    </x:row>
    <x:row r="42">
      <x:c r="A42" s="10" t="str">
        <x:v>Wisconsin</x:v>
      </x:c>
      <x:c r="B42" s="10" t="str">
        <x:v>WI</x:v>
      </x:c>
      <x:c r="C42" s="10" t="str">
        <x:v>Kenosha Toyota</x:v>
      </x:c>
      <x:c r="D42" s="10" t="str">
        <x:v>Kenosha</x:v>
      </x:c>
      <x:c r="E42" s="10" t="str">
        <x:v>8180 120th Avenue</x:v>
      </x:c>
      <x:c r="F42" s="10" t="str">
        <x:v>53142</x:v>
      </x:c>
      <x:c r="G42" s="10" t="str">
        <x:v>https://www.toyota.com/content/dam/toyota/brochures/pdf/tcom/2023_Dealer_List.pdf</x:v>
      </x:c>
      <x:c r="H42" s="10" t="str">
        <x:v>Toyota dealer list Jan. 12, 2024</x:v>
      </x:c>
    </x:row>
    <x:row r="43">
      <x:c r="A43" s="10" t="str">
        <x:v>Wisconsin</x:v>
      </x:c>
      <x:c r="B43" s="10" t="str">
        <x:v>WI</x:v>
      </x:c>
      <x:c r="C43" s="10" t="str">
        <x:v>LeadCar Toyota La Crosse</x:v>
      </x:c>
      <x:c r="D43" s="10" t="str">
        <x:v>La Crosse</x:v>
      </x:c>
      <x:c r="E43" s="10" t="str">
        <x:v>800 Third Street South</x:v>
      </x:c>
      <x:c r="F43" s="10" t="str">
        <x:v>54601</x:v>
      </x:c>
      <x:c r="G43" s="10" t="str">
        <x:v>https://www.leadcartoyotalacrosse.com/</x:v>
      </x:c>
      <x:c r="H43" s="10" t="str">
        <x:v>Current site verifies LeadCar Toyota La Crosse</x:v>
      </x:c>
    </x:row>
    <x:row r="44">
      <x:c r="A44" s="10" t="str">
        <x:v>Wisconsin</x:v>
      </x:c>
      <x:c r="B44" s="10" t="str">
        <x:v>WI</x:v>
      </x:c>
      <x:c r="C44" s="10" t="str">
        <x:v>East Madison Toyota</x:v>
      </x:c>
      <x:c r="D44" s="10" t="str">
        <x:v>Madison</x:v>
      </x:c>
      <x:c r="E44" s="10" t="str">
        <x:v>3501 Lancaster Drive</x:v>
      </x:c>
      <x:c r="F44" s="10" t="str">
        <x:v>53718</x:v>
      </x:c>
      <x:c r="G44" s="10" t="str">
        <x:v>https://www.eastmadisontoyota.com/</x:v>
      </x:c>
      <x:c r="H44" s="10" t="str">
        <x:v>Current site verifies East Madison Toyota</x:v>
      </x:c>
    </x:row>
    <x:row r="45">
      <x:c r="A45" s="10" t="str">
        <x:v>Wisconsin</x:v>
      </x:c>
      <x:c r="B45" s="10" t="str">
        <x:v>WI</x:v>
      </x:c>
      <x:c r="C45" s="10" t="str">
        <x:v>Smart Motors Toyota</x:v>
      </x:c>
      <x:c r="D45" s="10" t="str">
        <x:v>Madison</x:v>
      </x:c>
      <x:c r="E45" s="10" t="str">
        <x:v>5901 Odana Road</x:v>
      </x:c>
      <x:c r="F45" s="10" t="str">
        <x:v>53719</x:v>
      </x:c>
      <x:c r="G45" s="10" t="str">
        <x:v>https://www.smarttoyota.com/</x:v>
      </x:c>
      <x:c r="H45" s="10" t="str">
        <x:v>Current site verifies Smart Motors Toyota</x:v>
      </x:c>
    </x:row>
    <x:row r="46">
      <x:c r="A46" s="10" t="str">
        <x:v>Wisconsin</x:v>
      </x:c>
      <x:c r="B46" s="10" t="str">
        <x:v>WI</x:v>
      </x:c>
      <x:c r="C46" s="10" t="str">
        <x:v>Serra Toyota</x:v>
      </x:c>
      <x:c r="D46" s="10" t="str">
        <x:v>Milwaukee</x:v>
      </x:c>
      <x:c r="E46" s="10" t="str">
        <x:v>5727 S. 27th Street</x:v>
      </x:c>
      <x:c r="F46" s="10" t="str">
        <x:v>53221</x:v>
      </x:c>
      <x:c r="G46" s="10" t="str">
        <x:v>https://www.serratoyotamke.com/</x:v>
      </x:c>
      <x:c r="H46" s="10" t="str">
        <x:v>Current name; 2024 Toyota list showed Don Jacobs Toyota at same address</x:v>
      </x:c>
    </x:row>
    <x:row r="47">
      <x:c r="A47" s="10" t="str">
        <x:v>Wisconsin</x:v>
      </x:c>
      <x:c r="B47" s="10" t="str">
        <x:v>WI</x:v>
      </x:c>
      <x:c r="C47" s="10" t="str">
        <x:v>Heiser Toyota</x:v>
      </x:c>
      <x:c r="D47" s="10" t="str">
        <x:v>Milwaukee</x:v>
      </x:c>
      <x:c r="E47" s="10" t="str">
        <x:v>11301 West Metro Auto Mall</x:v>
      </x:c>
      <x:c r="F47" s="10" t="str">
        <x:v>53224</x:v>
      </x:c>
      <x:c r="G47" s="10" t="str">
        <x:v>https://www.heisertoyota.com/</x:v>
      </x:c>
      <x:c r="H47" s="10" t="str">
        <x:v>Current site verifies Heiser Toyota</x:v>
      </x:c>
    </x:row>
    <x:row r="48">
      <x:c r="A48" s="10" t="str">
        <x:v>Wisconsin</x:v>
      </x:c>
      <x:c r="B48" s="10" t="str">
        <x:v>WI</x:v>
      </x:c>
      <x:c r="C48" s="10" t="str">
        <x:v>Ruda Toyota</x:v>
      </x:c>
      <x:c r="D48" s="10" t="str">
        <x:v>Monroe</x:v>
      </x:c>
      <x:c r="E48" s="10" t="str">
        <x:v>104 Eighth Street</x:v>
      </x:c>
      <x:c r="F48" s="10" t="str">
        <x:v>53566</x:v>
      </x:c>
      <x:c r="G48" s="10" t="str">
        <x:v>https://www.rudaauto.com/</x:v>
      </x:c>
      <x:c r="H48" s="10" t="str">
        <x:v>Current site verifies Ruda Toyota/Ruda Auto</x:v>
      </x:c>
    </x:row>
    <x:row r="49">
      <x:c r="A49" s="10" t="str">
        <x:v>Wisconsin</x:v>
      </x:c>
      <x:c r="B49" s="10" t="str">
        <x:v>WI</x:v>
      </x:c>
      <x:c r="C49" s="10" t="str">
        <x:v>Zeigler Toyota of Racine</x:v>
      </x:c>
      <x:c r="D49" s="10" t="str">
        <x:v>Mount Pleasant</x:v>
      </x:c>
      <x:c r="E49" s="10" t="str">
        <x:v>13350 Kilbourn Drive</x:v>
      </x:c>
      <x:c r="F49" s="10" t="str">
        <x:v>53177</x:v>
      </x:c>
      <x:c r="G49" s="10" t="str">
        <x:v>https://www.toyota.com/content/dam/toyota/brochures/pdf/tcom/2023_Dealer_List.pdf</x:v>
      </x:c>
      <x:c r="H49" s="10" t="str">
        <x:v>Toyota dealer list Jan. 12, 2024</x:v>
      </x:c>
    </x:row>
    <x:row r="50">
      <x:c r="A50" s="10" t="str">
        <x:v>Wisconsin</x:v>
      </x:c>
      <x:c r="B50" s="10" t="str">
        <x:v>WI</x:v>
      </x:c>
      <x:c r="C50" s="10" t="str">
        <x:v>Bergstrom Toyota of Oshkosh</x:v>
      </x:c>
      <x:c r="D50" s="10" t="str">
        <x:v>Oshkosh</x:v>
      </x:c>
      <x:c r="E50" s="10" t="str">
        <x:v>3245 S. Washburn Street</x:v>
      </x:c>
      <x:c r="F50" s="10" t="str">
        <x:v>54904</x:v>
      </x:c>
      <x:c r="G50" s="10" t="str">
        <x:v>https://www.toyota.com/content/dam/toyota/brochures/pdf/tcom/2023_Dealer_List.pdf</x:v>
      </x:c>
      <x:c r="H50" s="10" t="str">
        <x:v>Toyota dealer list Jan. 12, 2024</x:v>
      </x:c>
    </x:row>
    <x:row r="51">
      <x:c r="A51" s="10" t="str">
        <x:v>Wisconsin</x:v>
      </x:c>
      <x:c r="B51" s="10" t="str">
        <x:v>WI</x:v>
      </x:c>
      <x:c r="C51" s="10" t="str">
        <x:v>Mark Toyota of Plover</x:v>
      </x:c>
      <x:c r="D51" s="10" t="str">
        <x:v>Plover</x:v>
      </x:c>
      <x:c r="E51" s="10" t="str">
        <x:v>1765 Park Avenue</x:v>
      </x:c>
      <x:c r="F51" s="10" t="str">
        <x:v>54467</x:v>
      </x:c>
      <x:c r="G51" s="10" t="str">
        <x:v>https://www.toyota.com/content/dam/toyota/brochures/pdf/tcom/2023_Dealer_List.pdf</x:v>
      </x:c>
      <x:c r="H51" s="10" t="str">
        <x:v>Toyota dealer list Jan. 12, 2024</x:v>
      </x:c>
    </x:row>
    <x:row r="52">
      <x:c r="A52" s="10" t="str">
        <x:v>Wisconsin</x:v>
      </x:c>
      <x:c r="B52" s="10" t="str">
        <x:v>WI</x:v>
      </x:c>
      <x:c r="C52" s="10" t="str">
        <x:v>Rhinelander Toyota</x:v>
      </x:c>
      <x:c r="D52" s="10" t="str">
        <x:v>Rhinelander</x:v>
      </x:c>
      <x:c r="E52" s="10" t="str">
        <x:v>1955 North Stevens Street</x:v>
      </x:c>
      <x:c r="F52" s="10" t="str">
        <x:v>54501</x:v>
      </x:c>
      <x:c r="G52" s="10" t="str">
        <x:v>https://www.toyota.com/content/dam/toyota/brochures/pdf/tcom/2023_Dealer_List.pdf</x:v>
      </x:c>
      <x:c r="H52" s="10" t="str">
        <x:v>Toyota dealer list Jan. 12, 2024</x:v>
      </x:c>
    </x:row>
    <x:row r="53">
      <x:c r="A53" s="10" t="str">
        <x:v>Wisconsin</x:v>
      </x:c>
      <x:c r="B53" s="10" t="str">
        <x:v>WI</x:v>
      </x:c>
      <x:c r="C53" s="10" t="str">
        <x:v>Dahl Toyota Sheboygan</x:v>
      </x:c>
      <x:c r="D53" s="10" t="str">
        <x:v>Sheboygan</x:v>
      </x:c>
      <x:c r="E53" s="10" t="str">
        <x:v>4120 N. Frontage Road</x:v>
      </x:c>
      <x:c r="F53" s="10" t="str">
        <x:v>53081</x:v>
      </x:c>
      <x:c r="G53" s="10" t="str">
        <x:v>https://www.dahltoyotasheboygan.com/</x:v>
      </x:c>
      <x:c r="H53" s="10" t="str">
        <x:v>Current name; Dahl acquired International Toyota/Sheboygan Toyota in 2025</x:v>
      </x:c>
    </x:row>
    <x:row r="54">
      <x:c r="A54" s="10" t="str">
        <x:v>Wisconsin</x:v>
      </x:c>
      <x:c r="B54" s="10" t="str">
        <x:v>WI</x:v>
      </x:c>
      <x:c r="C54" s="10" t="str">
        <x:v>Kari Toyota</x:v>
      </x:c>
      <x:c r="D54" s="10" t="str">
        <x:v>Superior</x:v>
      </x:c>
      <x:c r="E54" s="10" t="str">
        <x:v>1002 Tower Avenue</x:v>
      </x:c>
      <x:c r="F54" s="10" t="str">
        <x:v>54880</x:v>
      </x:c>
      <x:c r="G54" s="10" t="str">
        <x:v>https://www.toyota.com/content/dam/toyota/brochures/pdf/tcom/2023_Dealer_List.pdf</x:v>
      </x:c>
      <x:c r="H54" s="10" t="str">
        <x:v>Toyota dealer list Jan. 12, 2024</x:v>
      </x:c>
    </x:row>
    <x:row r="55">
      <x:c r="A55" s="10" t="str">
        <x:v>Wisconsin</x:v>
      </x:c>
      <x:c r="B55" s="10" t="str">
        <x:v>WI</x:v>
      </x:c>
      <x:c r="C55" s="10" t="str">
        <x:v>LeadCar Toyota Wausau</x:v>
      </x:c>
      <x:c r="D55" s="10" t="str">
        <x:v>Wausau</x:v>
      </x:c>
      <x:c r="E55" s="10" t="str">
        <x:v>2900 N. 20th Avenue</x:v>
      </x:c>
      <x:c r="F55" s="10" t="str">
        <x:v>54401</x:v>
      </x:c>
      <x:c r="G55" s="10" t="str">
        <x:v>https://www.toyota.com/content/dam/toyota/brochures/pdf/tcom/2023_Dealer_List.pdf</x:v>
      </x:c>
      <x:c r="H55" s="10" t="str">
        <x:v>Toyota dealer list Jan. 12, 2024</x:v>
      </x:c>
    </x:row>
    <x:row r="56">
      <x:c r="A56" s="10" t="str">
        <x:v>Wisconsin</x:v>
      </x:c>
      <x:c r="B56" s="10" t="str">
        <x:v>WI</x:v>
      </x:c>
      <x:c r="C56" s="10" t="str">
        <x:v>Wilde Toyota</x:v>
      </x:c>
      <x:c r="D56" s="10" t="str">
        <x:v>West Allis</x:v>
      </x:c>
      <x:c r="E56" s="10" t="str">
        <x:v>3225 South 108th Street</x:v>
      </x:c>
      <x:c r="F56" s="10" t="str">
        <x:v>53227</x:v>
      </x:c>
      <x:c r="G56" s="10" t="str">
        <x:v>https://www.toyota.com/content/dam/toyota/brochures/pdf/tcom/2023_Dealer_List.pdf</x:v>
      </x:c>
      <x:c r="H56" s="10" t="str">
        <x:v>Toyota dealer list Jan. 12, 2024</x:v>
      </x:c>
    </x:row>
    <x:row r="57">
      <x:c r="A57" s="10" t="str">
        <x:v>Wisconsin</x:v>
      </x:c>
      <x:c r="B57" s="10" t="str">
        <x:v>WI</x:v>
      </x:c>
      <x:c r="C57" s="10" t="str">
        <x:v>Russ Darrow Toyota</x:v>
      </x:c>
      <x:c r="D57" s="10" t="str">
        <x:v>West Bend</x:v>
      </x:c>
      <x:c r="E57" s="10" t="str">
        <x:v>2700 W. Washington St.</x:v>
      </x:c>
      <x:c r="F57" s="10" t="str">
        <x:v>53095</x:v>
      </x:c>
      <x:c r="G57" s="10" t="str">
        <x:v>https://www.toyota.com/content/dam/toyota/brochures/pdf/tcom/2023_Dealer_List.pdf</x:v>
      </x:c>
      <x:c r="H57" s="10" t="str">
        <x:v>Toyota dealer list Jan. 12, 2024</x:v>
      </x:c>
    </x:row>
    <x:row r="58">
      <x:c r="A58" s="10" t="str">
        <x:v>North Dakota</x:v>
      </x:c>
      <x:c r="B58" s="10" t="str">
        <x:v>ND</x:v>
      </x:c>
      <x:c r="C58" s="10" t="str">
        <x:v>Cedric Theel Toyota</x:v>
      </x:c>
      <x:c r="D58" s="10" t="str">
        <x:v>Bismarck</x:v>
      </x:c>
      <x:c r="E58" s="10" t="str">
        <x:v>3955 Trenton Drive</x:v>
      </x:c>
      <x:c r="F58" s="10" t="str">
        <x:v>58503</x:v>
      </x:c>
      <x:c r="G58" s="10" t="str">
        <x:v>https://www.toyota.com/content/dam/toyota/brochures/pdf/tcom/2023_Dealer_List.pdf</x:v>
      </x:c>
      <x:c r="H58" s="10" t="str">
        <x:v>Toyota dealer list Jan. 12, 2024</x:v>
      </x:c>
    </x:row>
    <x:row r="59">
      <x:c r="A59" s="10" t="str">
        <x:v>North Dakota</x:v>
      </x:c>
      <x:c r="B59" s="10" t="str">
        <x:v>ND</x:v>
      </x:c>
      <x:c r="C59" s="10" t="str">
        <x:v>Lake Toyota</x:v>
      </x:c>
      <x:c r="D59" s="10" t="str">
        <x:v>Devils Lake</x:v>
      </x:c>
      <x:c r="E59" s="10" t="str">
        <x:v>424 Highway 2 East</x:v>
      </x:c>
      <x:c r="F59" s="10" t="str">
        <x:v>58301</x:v>
      </x:c>
      <x:c r="G59" s="10" t="str">
        <x:v>https://www.toyota.com/content/dam/toyota/brochures/pdf/tcom/2023_Dealer_List.pdf</x:v>
      </x:c>
      <x:c r="H59" s="10" t="str">
        <x:v>Toyota dealer list Jan. 12, 2024</x:v>
      </x:c>
    </x:row>
    <x:row r="60">
      <x:c r="A60" s="10" t="str">
        <x:v>North Dakota</x:v>
      </x:c>
      <x:c r="B60" s="10" t="str">
        <x:v>ND</x:v>
      </x:c>
      <x:c r="C60" s="10" t="str">
        <x:v>Dan Porter Honda-Toyota</x:v>
      </x:c>
      <x:c r="D60" s="10" t="str">
        <x:v>Dickinson</x:v>
      </x:c>
      <x:c r="E60" s="10" t="str">
        <x:v>2391 E. I-94 Business LP</x:v>
      </x:c>
      <x:c r="F60" s="10" t="str">
        <x:v>58601</x:v>
      </x:c>
      <x:c r="G60" s="10" t="str">
        <x:v>https://www.toyota.com/content/dam/toyota/brochures/pdf/tcom/2023_Dealer_List.pdf</x:v>
      </x:c>
      <x:c r="H60" s="10" t="str">
        <x:v>Toyota dealer list Jan. 12, 2024</x:v>
      </x:c>
    </x:row>
    <x:row r="61">
      <x:c r="A61" s="10" t="str">
        <x:v>North Dakota</x:v>
      </x:c>
      <x:c r="B61" s="10" t="str">
        <x:v>ND</x:v>
      </x:c>
      <x:c r="C61" s="10" t="str">
        <x:v>Corwin Toyota</x:v>
      </x:c>
      <x:c r="D61" s="10" t="str">
        <x:v>Fargo</x:v>
      </x:c>
      <x:c r="E61" s="10" t="str">
        <x:v>222 South 40TH Street</x:v>
      </x:c>
      <x:c r="F61" s="10" t="str">
        <x:v>58103</x:v>
      </x:c>
      <x:c r="G61" s="10" t="str">
        <x:v>https://www.toyota.com/content/dam/toyota/brochures/pdf/tcom/2023_Dealer_List.pdf</x:v>
      </x:c>
      <x:c r="H61" s="10" t="str">
        <x:v>Toyota dealer list Jan. 12, 2024</x:v>
      </x:c>
    </x:row>
    <x:row r="62">
      <x:c r="A62" s="10" t="str">
        <x:v>North Dakota</x:v>
      </x:c>
      <x:c r="B62" s="10" t="str">
        <x:v>ND</x:v>
      </x:c>
      <x:c r="C62" s="10" t="str">
        <x:v>Rydell Toyota of Grand Forks</x:v>
      </x:c>
      <x:c r="D62" s="10" t="str">
        <x:v>Grand Forks</x:v>
      </x:c>
      <x:c r="E62" s="10" t="str">
        <x:v>2473 South 32nd Avenue</x:v>
      </x:c>
      <x:c r="F62" s="10" t="str">
        <x:v>58201</x:v>
      </x:c>
      <x:c r="G62" s="10" t="str">
        <x:v>https://www.toyota.com/content/dam/toyota/brochures/pdf/tcom/2023_Dealer_List.pdf</x:v>
      </x:c>
      <x:c r="H62" s="10" t="str">
        <x:v>Toyota dealer list Jan. 12, 2024</x:v>
      </x:c>
    </x:row>
    <x:row r="63">
      <x:c r="A63" s="10" t="str">
        <x:v>North Dakota</x:v>
      </x:c>
      <x:c r="B63" s="10" t="str">
        <x:v>ND</x:v>
      </x:c>
      <x:c r="C63" s="10" t="str">
        <x:v>Lloyds Toyota</x:v>
      </x:c>
      <x:c r="D63" s="10" t="str">
        <x:v>Jamestown</x:v>
      </x:c>
      <x:c r="E63" s="10" t="str">
        <x:v>500 17th St SW</x:v>
      </x:c>
      <x:c r="F63" s="10" t="str">
        <x:v>58401</x:v>
      </x:c>
      <x:c r="G63" s="10" t="str">
        <x:v>https://www.lloydstoyota.com/</x:v>
      </x:c>
      <x:c r="H63" s="10" t="str">
        <x:v>Current site verifies Lloyds Toyota</x:v>
      </x:c>
    </x:row>
    <x:row r="64">
      <x:c r="A64" s="10" t="str">
        <x:v>North Dakota</x:v>
      </x:c>
      <x:c r="B64" s="10" t="str">
        <x:v>ND</x:v>
      </x:c>
      <x:c r="C64" s="10" t="str">
        <x:v>Minot Toyota</x:v>
      </x:c>
      <x:c r="D64" s="10" t="str">
        <x:v>Minot</x:v>
      </x:c>
      <x:c r="E64" s="10" t="str">
        <x:v>3615 South Broadway</x:v>
      </x:c>
      <x:c r="F64" s="10" t="str">
        <x:v>58702</x:v>
      </x:c>
      <x:c r="G64" s="10" t="str">
        <x:v>https://www.minottoyota.com/</x:v>
      </x:c>
      <x:c r="H64" s="10" t="str">
        <x:v>Current site verifies Minot Toyota</x:v>
      </x:c>
    </x:row>
    <x:row r="65">
      <x:c r="A65" s="10" t="str">
        <x:v>South Dakota</x:v>
      </x:c>
      <x:c r="B65" s="10" t="str">
        <x:v>SD</x:v>
      </x:c>
      <x:c r="C65" s="10" t="str">
        <x:v>Harr Toyota</x:v>
      </x:c>
      <x:c r="D65" s="10" t="str">
        <x:v>Aberdeen</x:v>
      </x:c>
      <x:c r="E65" s="10" t="str">
        <x:v>4255 6th Avenue SE</x:v>
      </x:c>
      <x:c r="F65" s="10" t="str">
        <x:v>57401</x:v>
      </x:c>
      <x:c r="G65" s="10" t="str">
        <x:v>https://www.harrtoyota.com/</x:v>
      </x:c>
      <x:c r="H65" s="10" t="str">
        <x:v>Current site verifies Harr Toyota</x:v>
      </x:c>
    </x:row>
    <x:row r="66">
      <x:c r="A66" s="10" t="str">
        <x:v>South Dakota</x:v>
      </x:c>
      <x:c r="B66" s="10" t="str">
        <x:v>SD</x:v>
      </x:c>
      <x:c r="C66" s="10" t="str">
        <x:v>Capital City Toyota</x:v>
      </x:c>
      <x:c r="D66" s="10" t="str">
        <x:v>Pierre</x:v>
      </x:c>
      <x:c r="E66" s="10" t="str">
        <x:v>518 East Sioux Avenue</x:v>
      </x:c>
      <x:c r="F66" s="10" t="str">
        <x:v>57501</x:v>
      </x:c>
      <x:c r="G66" s="10" t="str">
        <x:v>https://www.capcitytoyota.com/</x:v>
      </x:c>
      <x:c r="H66" s="10" t="str">
        <x:v>Current site verifies Capital City Toyota</x:v>
      </x:c>
    </x:row>
    <x:row r="67">
      <x:c r="A67" s="10" t="str">
        <x:v>South Dakota</x:v>
      </x:c>
      <x:c r="B67" s="10" t="str">
        <x:v>SD</x:v>
      </x:c>
      <x:c r="C67" s="10" t="str">
        <x:v>Denny Menholt Toyota</x:v>
      </x:c>
      <x:c r="D67" s="10" t="str">
        <x:v>Rapid City</x:v>
      </x:c>
      <x:c r="E67" s="10" t="str">
        <x:v>1920 East Mall Drive</x:v>
      </x:c>
      <x:c r="F67" s="10" t="str">
        <x:v>57701</x:v>
      </x:c>
      <x:c r="G67" s="10" t="str">
        <x:v>https://www.toyota.com/content/dam/toyota/brochures/pdf/tcom/2023_Dealer_List.pdf</x:v>
      </x:c>
      <x:c r="H67" s="10" t="str">
        <x:v>Toyota dealer list Jan. 12, 2024</x:v>
      </x:c>
    </x:row>
    <x:row r="68">
      <x:c r="A68" s="10" t="str">
        <x:v>South Dakota</x:v>
      </x:c>
      <x:c r="B68" s="10" t="str">
        <x:v>SD</x:v>
      </x:c>
      <x:c r="C68" s="10" t="str">
        <x:v>Billion Toyota</x:v>
      </x:c>
      <x:c r="D68" s="10" t="str">
        <x:v>Sioux Falls</x:v>
      </x:c>
      <x:c r="E68" s="10" t="str">
        <x:v>4101 W. 12th Street</x:v>
      </x:c>
      <x:c r="F68" s="10" t="str">
        <x:v>57106</x:v>
      </x:c>
      <x:c r="G68" s="10" t="str">
        <x:v>https://www.billiontoyota.com/</x:v>
      </x:c>
      <x:c r="H68" s="10" t="str">
        <x:v>Current site verifies Billion Toyota</x:v>
      </x:c>
    </x:row>
    <x:row r="69">
      <x:c r="A69" s="10" t="str">
        <x:v>South Dakota</x:v>
      </x:c>
      <x:c r="B69" s="10" t="str">
        <x:v>SD</x:v>
      </x:c>
      <x:c r="C69" s="10" t="str">
        <x:v>Sharp Chevrolet-Toyota</x:v>
      </x:c>
      <x:c r="D69" s="10" t="str">
        <x:v>Watertown</x:v>
      </x:c>
      <x:c r="E69" s="10" t="str">
        <x:v>1112 9th Ave SW</x:v>
      </x:c>
      <x:c r="F69" s="10" t="str">
        <x:v>57201</x:v>
      </x:c>
      <x:c r="G69" s="10" t="str">
        <x:v>https://www.sharpautos.com/</x:v>
      </x:c>
      <x:c r="H69" s="10" t="str">
        <x:v>Current site verifies Sharp Toyota</x:v>
      </x:c>
    </x:row>
    <x:row r="70">
      <x:c r="A70" s="10" t="str">
        <x:v>Nebraska</x:v>
      </x:c>
      <x:c r="B70" s="10" t="str">
        <x:v>NE</x:v>
      </x:c>
      <x:c r="C70" s="10" t="str">
        <x:v>Corwin Toyota of Bellevue</x:v>
      </x:c>
      <x:c r="D70" s="10" t="str">
        <x:v>Bellevue</x:v>
      </x:c>
      <x:c r="E70" s="10" t="str">
        <x:v>7851 S. 19th Circle</x:v>
      </x:c>
      <x:c r="F70" s="10" t="str">
        <x:v>68147</x:v>
      </x:c>
      <x:c r="G70" s="10" t="str">
        <x:v>https://www.toyota.com/content/dam/toyota/brochures/pdf/tcom/2023_Dealer_List.pdf</x:v>
      </x:c>
      <x:c r="H70" s="10" t="str">
        <x:v>Toyota dealer list Jan. 12, 2024</x:v>
      </x:c>
    </x:row>
    <x:row r="71">
      <x:c r="A71" s="10" t="str">
        <x:v>Nebraska</x:v>
      </x:c>
      <x:c r="B71" s="10" t="str">
        <x:v>NE</x:v>
      </x:c>
      <x:c r="C71" s="10" t="str">
        <x:v>Gregg Young Toyota of Columbus</x:v>
      </x:c>
      <x:c r="D71" s="10" t="str">
        <x:v>Columbus</x:v>
      </x:c>
      <x:c r="E71" s="10" t="str">
        <x:v>815 East 23rd Street</x:v>
      </x:c>
      <x:c r="F71" s="10" t="str">
        <x:v>68601</x:v>
      </x:c>
      <x:c r="G71" s="10" t="str">
        <x:v>https://www.greggyoungtoyotacolumbus.com/</x:v>
      </x:c>
      <x:c r="H71" s="10" t="str">
        <x:v>Current name; formerly Ernst Toyota</x:v>
      </x:c>
    </x:row>
    <x:row r="72">
      <x:c r="A72" s="10" t="str">
        <x:v>Nebraska</x:v>
      </x:c>
      <x:c r="B72" s="10" t="str">
        <x:v>NE</x:v>
      </x:c>
      <x:c r="C72" s="10" t="str">
        <x:v>Cornhusker Toyota</x:v>
      </x:c>
      <x:c r="D72" s="10" t="str">
        <x:v>Grand Island</x:v>
      </x:c>
      <x:c r="E72" s="10" t="str">
        <x:v>3510 Kaufman</x:v>
      </x:c>
      <x:c r="F72" s="10" t="str">
        <x:v>68803</x:v>
      </x:c>
      <x:c r="G72" s="10" t="str">
        <x:v>https://www.toyota.com/content/dam/toyota/brochures/pdf/tcom/2023_Dealer_List.pdf</x:v>
      </x:c>
      <x:c r="H72" s="10" t="str">
        <x:v>Toyota dealer list Jan. 12, 2024</x:v>
      </x:c>
    </x:row>
    <x:row r="73">
      <x:c r="A73" s="10" t="str">
        <x:v>Nebraska</x:v>
      </x:c>
      <x:c r="B73" s="10" t="str">
        <x:v>NE</x:v>
      </x:c>
      <x:c r="C73" s="10" t="str">
        <x:v>Baxter Toyota of La Vista</x:v>
      </x:c>
      <x:c r="D73" s="10" t="str">
        <x:v>La Vista</x:v>
      </x:c>
      <x:c r="E73" s="10" t="str">
        <x:v>7204 S. 124th Circle</x:v>
      </x:c>
      <x:c r="F73" s="10" t="str">
        <x:v>68128</x:v>
      </x:c>
      <x:c r="G73" s="10" t="str">
        <x:v>https://www.toyota.com/content/dam/toyota/brochures/pdf/tcom/2023_Dealer_List.pdf</x:v>
      </x:c>
      <x:c r="H73" s="10" t="str">
        <x:v>Toyota dealer list Jan. 12, 2024</x:v>
      </x:c>
    </x:row>
    <x:row r="74">
      <x:c r="A74" s="10" t="str">
        <x:v>Nebraska</x:v>
      </x:c>
      <x:c r="B74" s="10" t="str">
        <x:v>NE</x:v>
      </x:c>
      <x:c r="C74" s="10" t="str">
        <x:v>Baxter Toyota of Lincoln</x:v>
      </x:c>
      <x:c r="D74" s="10" t="str">
        <x:v>Lincoln</x:v>
      </x:c>
      <x:c r="E74" s="10" t="str">
        <x:v>8600 South 33rd Street</x:v>
      </x:c>
      <x:c r="F74" s="10" t="str">
        <x:v>68516</x:v>
      </x:c>
      <x:c r="G74" s="10" t="str">
        <x:v>https://www.toyota.com/content/dam/toyota/brochures/pdf/tcom/2023_Dealer_List.pdf</x:v>
      </x:c>
      <x:c r="H74" s="10" t="str">
        <x:v>Toyota dealer list Jan. 12, 2024</x:v>
      </x:c>
    </x:row>
    <x:row r="75">
      <x:c r="A75" s="10" t="str">
        <x:v>Nebraska</x:v>
      </x:c>
      <x:c r="B75" s="10" t="str">
        <x:v>NE</x:v>
      </x:c>
      <x:c r="C75" s="10" t="str">
        <x:v>Wagner Toyota</x:v>
      </x:c>
      <x:c r="D75" s="10" t="str">
        <x:v>McCook</x:v>
      </x:c>
      <x:c r="E75" s="10" t="str">
        <x:v>211 West 2nd Street</x:v>
      </x:c>
      <x:c r="F75" s="10" t="str">
        <x:v>69001</x:v>
      </x:c>
      <x:c r="G75" s="10" t="str">
        <x:v>https://www.toyota.com/content/dam/toyota/brochures/pdf/tcom/2023_Dealer_List.pdf</x:v>
      </x:c>
      <x:c r="H75" s="10" t="str">
        <x:v>Toyota dealer list Jan. 12, 2024</x:v>
      </x:c>
    </x:row>
    <x:row r="76">
      <x:c r="A76" s="10" t="str">
        <x:v>Nebraska</x:v>
      </x:c>
      <x:c r="B76" s="10" t="str">
        <x:v>NE</x:v>
      </x:c>
      <x:c r="C76" s="10" t="str">
        <x:v>Premier Toyota</x:v>
      </x:c>
      <x:c r="D76" s="10" t="str">
        <x:v>North Platte</x:v>
      </x:c>
      <x:c r="E76" s="10" t="str">
        <x:v>2600 S Willow &amp; I-80</x:v>
      </x:c>
      <x:c r="F76" s="10" t="str">
        <x:v>69103</x:v>
      </x:c>
      <x:c r="G76" s="10" t="str">
        <x:v>https://www.toyota.com/content/dam/toyota/brochures/pdf/tcom/2023_Dealer_List.pdf</x:v>
      </x:c>
      <x:c r="H76" s="10" t="str">
        <x:v>Toyota dealer list Jan. 12, 2024</x:v>
      </x:c>
    </x:row>
    <x:row r="77">
      <x:c r="A77" s="10" t="str">
        <x:v>Nebraska</x:v>
      </x:c>
      <x:c r="B77" s="10" t="str">
        <x:v>NE</x:v>
      </x:c>
      <x:c r="C77" s="10" t="str">
        <x:v>Village Pointe Toyota</x:v>
      </x:c>
      <x:c r="D77" s="10" t="str">
        <x:v>Omaha</x:v>
      </x:c>
      <x:c r="E77" s="10" t="str">
        <x:v>18201 Cuming Street</x:v>
      </x:c>
      <x:c r="F77" s="10" t="str">
        <x:v>68022</x:v>
      </x:c>
      <x:c r="G77" s="10" t="str">
        <x:v>https://www.toyota.com/content/dam/toyota/brochures/pdf/tcom/2023_Dealer_List.pdf</x:v>
      </x:c>
      <x:c r="H77" s="10" t="str">
        <x:v>Toyota dealer list Jan. 12, 2024</x:v>
      </x:c>
    </x:row>
    <x:row r="78">
      <x:c r="A78" s="10" t="str">
        <x:v>Nebraska</x:v>
      </x:c>
      <x:c r="B78" s="10" t="str">
        <x:v>NE</x:v>
      </x:c>
      <x:c r="C78" s="10" t="str">
        <x:v>Team Toyota</x:v>
      </x:c>
      <x:c r="D78" s="10" t="str">
        <x:v>Scottsbluff</x:v>
      </x:c>
      <x:c r="E78" s="10" t="str">
        <x:v>2014 E. 20th Place</x:v>
      </x:c>
      <x:c r="F78" s="10" t="str">
        <x:v>69361</x:v>
      </x:c>
      <x:c r="G78" s="10" t="str">
        <x:v>https://www.toyota.com/content/dam/toyota/brochures/pdf/tcom/2023_Dealer_List.pdf</x:v>
      </x:c>
      <x:c r="H78" s="10" t="str">
        <x:v>Toyota dealer list Jan. 12, 2024</x:v>
      </x:c>
    </x:row>
  </x:sheetData>
  <x:pageMargins left="0.7" right="0.7" top="0.75" bottom="0.75" header="0.3" footer="0.3"/>
  <x:tableParts count="1">
    <x:tablePart xmlns:r="http://schemas.openxmlformats.org/officeDocument/2006/relationships" r:id="Rda2dfeb2fa5f4a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80" hidden="0" customWidth="1"/>
  </x:cols>
  <x:sheetData>
    <x:row r="1">
      <x:c r="A1" s="14" t="str">
        <x:v>Toyota Dealership List: MN, IA, WI, ND, SD, NE</x:v>
      </x:c>
      <x:c r="B1" t="str">
        <x:v>Toyota Dealership List: MN, IA, WI, ND, SD, NE</x:v>
      </x:c>
      <x:c r="C1" t="str">
        <x:v>Toyota Dealership List: MN, IA, WI, ND, SD, NE</x:v>
      </x:c>
      <x:c r="D1" t="str">
        <x:v>Toyota Dealership List: MN, IA, WI, ND, SD, NE</x:v>
      </x:c>
    </x:row>
    <x:row r="2">
      <x:c r="A2" t="str">
        <x:v>Compiled/checked: 2026-07-07</x:v>
      </x:c>
      <x:c r="B2" t="str"/>
      <x:c r="C2" t="str"/>
      <x:c r="D2" t="str"/>
    </x:row>
    <x:row r="4">
      <x:c r="A4" s="5" t="str">
        <x:v>State</x:v>
      </x:c>
      <x:c r="B4" s="5" t="str">
        <x:v>Dealer Count</x:v>
      </x:c>
    </x:row>
    <x:row r="5">
      <x:c r="A5" t="str">
        <x:v>Minnesota</x:v>
      </x:c>
      <x:c r="B5" t="n">
        <x:f>COUNTIF(Dealers!$A$2:$A$78,"Minnesota")</x:f>
        <x:v>17</x:v>
      </x:c>
    </x:row>
    <x:row r="6">
      <x:c r="A6" t="str">
        <x:v>Iowa</x:v>
      </x:c>
      <x:c r="B6" t="n">
        <x:f>COUNTIF(Dealers!$A$2:$A$78,"Iowa")</x:f>
        <x:v>16</x:v>
      </x:c>
    </x:row>
    <x:row r="7">
      <x:c r="A7" t="str">
        <x:v>Wisconsin</x:v>
      </x:c>
      <x:c r="B7" t="n">
        <x:f>COUNTIF(Dealers!$A$2:$A$78,"Wisconsin")</x:f>
        <x:v>23</x:v>
      </x:c>
    </x:row>
    <x:row r="8">
      <x:c r="A8" t="str">
        <x:v>North Dakota</x:v>
      </x:c>
      <x:c r="B8" t="n">
        <x:f>COUNTIF(Dealers!$A$2:$A$78,"North Dakota")</x:f>
        <x:v>7</x:v>
      </x:c>
    </x:row>
    <x:row r="9">
      <x:c r="A9" t="str">
        <x:v>South Dakota</x:v>
      </x:c>
      <x:c r="B9" t="n">
        <x:f>COUNTIF(Dealers!$A$2:$A$78,"South Dakota")</x:f>
        <x:v>5</x:v>
      </x:c>
    </x:row>
    <x:row r="10">
      <x:c r="A10" t="str">
        <x:v>Nebraska</x:v>
      </x:c>
      <x:c r="B10" t="n">
        <x:f>COUNTIF(Dealers!$A$2:$A$78,"Nebraska")</x:f>
        <x:v>9</x:v>
      </x:c>
    </x:row>
    <x:row r="12">
      <x:c r="A12" s="19" t="str">
        <x:v>Total</x:v>
      </x:c>
      <x:c r="B12" s="19" t="n">
        <x:f>SUM(B5:B11)</x:f>
        <x:v>77</x:v>
      </x:c>
    </x:row>
    <x:row r="13">
      <x:c r="A13" s="5" t="str">
        <x:v>Source / treatment notes</x:v>
      </x:c>
      <x:c r="B13" t="str"/>
      <x:c r="C13" t="str"/>
      <x:c r="D13" t="str"/>
    </x:row>
    <x:row r="14">
      <x:c r="A14" s="10" t="str">
        <x:v>Official baseline source</x:v>
      </x:c>
      <x:c r="B14" s="10" t="str">
        <x:v>https://www.toyota.com/content/dam/toyota/brochures/pdf/tcom/2023_Dealer_List.pdf</x:v>
      </x:c>
      <x:c r="C14" s="10" t="str">
        <x:v>Toyota dealer list titled “Toyota Dealers as of January 12, 2024.”</x:v>
      </x:c>
    </x:row>
    <x:row r="15">
      <x:c r="A15" s="10" t="str">
        <x:v>Current-name checks</x:v>
      </x:c>
      <x:c r="B15" s="10" t="str">
        <x:v>Dealer websites and public acquisition notices</x:v>
      </x:c>
      <x:c r="C15" s="10" t="str">
        <x:v>Updated known renamed/acquired stores: Gregg Young Toyota Columbus, Umansky Toyota, Serra Toyota, Dahl Toyota Sheboygan.</x:v>
      </x:c>
    </x:row>
    <x:row r="16">
      <x:c r="A16" s="10" t="str">
        <x:v>Excluded</x:v>
      </x:c>
      <x:c r="B16" s="10" t="str">
        <x:v>Middleton Auto Mart</x:v>
      </x:c>
      <x:c r="C16" s="10" t="str">
        <x:v>DealerRater lists it, but its own site describes it as a used-car dealer, not a Toyota franchise dealership.</x:v>
      </x:c>
    </x:row>
  </x:sheetData>
  <x:mergeCells>
    <x:mergeCell ref="A1:D1"/>
    <x:mergeCell ref="A13:D13"/>
  </x:mergeCells>
  <x:pageMargins left="0.7" right="0.7" top="0.75" bottom="0.75" header="0.3" footer="0.3"/>
  <x:drawing xmlns:r="http://schemas.openxmlformats.org/officeDocument/2006/relationships" r:id="Rf762dcd1ce0949ef"/>
</x:worksheet>
</file>